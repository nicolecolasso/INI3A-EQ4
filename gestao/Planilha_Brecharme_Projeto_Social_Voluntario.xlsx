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ROJETO SOCIAL" sheetId="1" state="visible" r:id="rId1"/>
    <sheet xmlns:r="http://schemas.openxmlformats.org/officeDocument/2006/relationships" name="PLANO DE PATROCÍNIOS" sheetId="2" state="visible" r:id="rId2"/>
    <sheet xmlns:r="http://schemas.openxmlformats.org/officeDocument/2006/relationships" name="PROJEÇÃO DE ARRECADAÇÃO" sheetId="3" state="visible" r:id="rId3"/>
    <sheet xmlns:r="http://schemas.openxmlformats.org/officeDocument/2006/relationships" name="CUSTO ESTRUTURAL" sheetId="4" state="visible" r:id="rId4"/>
    <sheet xmlns:r="http://schemas.openxmlformats.org/officeDocument/2006/relationships" name="VALOR M.O. DOA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D99B00"/>
        <bgColor rgb="00D99B00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4" borderId="1" pivotButton="0" quotePrefix="0" xfId="0"/>
    <xf numFmtId="164" fontId="1" fillId="4" borderId="1" pivotButton="0" quotePrefix="0" xfId="0"/>
    <xf numFmtId="0" fontId="1" fillId="6" borderId="1" pivotButton="0" quotePrefix="0" xfId="0"/>
    <xf numFmtId="164" fontId="1" fillId="6" borderId="1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1" fillId="0" borderId="1" pivotButton="0" quotePrefix="0" xfId="0"/>
    <xf numFmtId="0" fontId="2" fillId="3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3" borderId="0" pivotButton="0" quotePrefix="0" xfId="0"/>
    <xf numFmtId="164" fontId="1" fillId="0" borderId="1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7" customWidth="1" min="2" max="2"/>
    <col width="18" customWidth="1" min="3" max="3"/>
    <col width="51" customWidth="1" min="4" max="4"/>
    <col width="27" customWidth="1" min="5" max="5"/>
    <col width="18" customWidth="1" min="6" max="6"/>
  </cols>
  <sheetData>
    <row r="1">
      <c r="A1" s="1" t="inlineStr">
        <is>
          <t>PROJETO BRECHARME - ENSINO MÉDIO / PARCERIA CÁRITAS (PRO BONO)</t>
        </is>
      </c>
    </row>
    <row r="2"/>
    <row r="3">
      <c r="A3" s="2" t="inlineStr">
        <is>
          <t>CUSTO REAL / DESEMBOLSO DO PROJETO</t>
        </is>
      </c>
      <c r="B3" s="2" t="inlineStr">
        <is>
          <t>VALOR (R$)</t>
        </is>
      </c>
      <c r="D3" s="3" t="inlineStr">
        <is>
          <t>VALOR ESTIMADO DO SOFTWARE DOADO À CÁRITAS</t>
        </is>
      </c>
      <c r="E3" s="3" t="inlineStr">
        <is>
          <t>VALORIZATIVO (R$)</t>
        </is>
      </c>
    </row>
    <row r="4">
      <c r="A4" s="4" t="inlineStr">
        <is>
          <t>Desgaste de Equipamentos / Energia / Internet (Indireto)</t>
        </is>
      </c>
      <c r="B4" s="5">
        <f>'CUSTO ESTRUTURAL'!B15</f>
        <v/>
      </c>
      <c r="D4" s="4" t="inlineStr">
        <is>
          <t>Infraestrutura e Equipamento de Desenvolvimento</t>
        </is>
      </c>
      <c r="E4" s="5">
        <f>'CUSTO ESTRUTURAL'!B15</f>
        <v/>
      </c>
    </row>
    <row r="5">
      <c r="A5" s="4" t="inlineStr">
        <is>
          <t>Mão de Obra Estudantil (Trabalho Voluntário / Pro Bono)</t>
        </is>
      </c>
      <c r="B5" s="5" t="n">
        <v>0</v>
      </c>
      <c r="D5" s="4" t="inlineStr">
        <is>
          <t>Valor Estimado da Mão de Obra Dev (Mercado)</t>
        </is>
      </c>
      <c r="E5" s="5">
        <f>'VALOR M.O. DOADA'!B10</f>
        <v/>
      </c>
    </row>
    <row r="6">
      <c r="A6" s="4" t="inlineStr">
        <is>
          <t>Investimento Financeiro Direto dos Alunos/Escola</t>
        </is>
      </c>
      <c r="B6" s="5" t="n">
        <v>0</v>
      </c>
      <c r="D6" s="4" t="inlineStr">
        <is>
          <t>Encargos e Impostos Teóricos (Simulação 74,7%)</t>
        </is>
      </c>
      <c r="E6" s="5">
        <f>E5*0.747</f>
        <v/>
      </c>
    </row>
    <row r="7">
      <c r="A7" s="4" t="inlineStr">
        <is>
          <t>Reserva para Contingências / Manutenção Básica (10%)</t>
        </is>
      </c>
      <c r="B7" s="5">
        <f>B4*0.10</f>
        <v/>
      </c>
      <c r="D7" s="4" t="inlineStr">
        <is>
          <t>Custos Operacionais Teóricos de TI (10%)</t>
        </is>
      </c>
      <c r="E7" s="5">
        <f>(E4+E5+E6)*0.10</f>
        <v/>
      </c>
    </row>
    <row r="8">
      <c r="A8" s="6" t="inlineStr">
        <is>
          <t>TOTAL DE INVESTIMENTO DIRETO NECESSÁRIO</t>
        </is>
      </c>
      <c r="B8" s="7">
        <f>SUM(B4:B7)</f>
        <v/>
      </c>
      <c r="D8" s="8" t="inlineStr">
        <is>
          <t>VALOR ESTIMADO TOTAL DOADO EM TECNOLOGIA</t>
        </is>
      </c>
      <c r="E8" s="9">
        <f>SUM(E4:E7)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1" customWidth="1" min="2" max="2"/>
    <col width="21" customWidth="1" min="3" max="3"/>
    <col width="100" customWidth="1" min="4" max="4"/>
    <col width="27" customWidth="1" min="5" max="5"/>
  </cols>
  <sheetData>
    <row r="1">
      <c r="A1" s="10" t="inlineStr">
        <is>
          <t>ESTRUTURA DE PATROCÍNIOS E CAPTAÇÃO DE RECURSOS PARA O BRECHARME</t>
        </is>
      </c>
    </row>
    <row r="2"/>
    <row r="3">
      <c r="A3" s="11" t="inlineStr">
        <is>
          <t>COTA DE PATROCÍNIO</t>
        </is>
      </c>
      <c r="B3" s="11" t="inlineStr">
        <is>
          <t>VALOR MENSAL (R$)</t>
        </is>
      </c>
      <c r="C3" s="11" t="inlineStr">
        <is>
          <t>META DE PARCEIROS</t>
        </is>
      </c>
      <c r="D3" s="11" t="inlineStr">
        <is>
          <t>BENEFÍCIOS AO PATROCINADOR</t>
        </is>
      </c>
      <c r="E3" s="11" t="inlineStr">
        <is>
          <t>ARRECADAÇÃO MENSAL (R$)</t>
        </is>
      </c>
    </row>
    <row r="4">
      <c r="A4" s="12" t="inlineStr">
        <is>
          <t>Cota Ouro (Master)</t>
        </is>
      </c>
      <c r="B4" s="13" t="n">
        <v>300</v>
      </c>
      <c r="C4" s="14" t="n">
        <v>2</v>
      </c>
      <c r="D4" s="12" t="inlineStr">
        <is>
          <t>Logo em destaque na home do site, banners em eventos do bazar e selo de Responsabilidade Social.</t>
        </is>
      </c>
      <c r="E4" s="13">
        <f>B4*C4</f>
        <v/>
      </c>
    </row>
    <row r="5">
      <c r="A5" s="12" t="inlineStr">
        <is>
          <t>Cota Prata (Apoiador Local)</t>
        </is>
      </c>
      <c r="B5" s="13" t="n">
        <v>150</v>
      </c>
      <c r="C5" s="14" t="n">
        <v>4</v>
      </c>
      <c r="D5" s="12" t="inlineStr">
        <is>
          <t>Logo no rodapé do site, menção em posts nas redes sociais e divulgação no bazar.</t>
        </is>
      </c>
      <c r="E5" s="13">
        <f>B5*C5</f>
        <v/>
      </c>
    </row>
    <row r="6">
      <c r="A6" s="12" t="inlineStr">
        <is>
          <t>Cota Bronze (Comércio Amigo)</t>
        </is>
      </c>
      <c r="B6" s="13" t="n">
        <v>75</v>
      </c>
      <c r="C6" s="14" t="n">
        <v>6</v>
      </c>
      <c r="D6" s="12" t="inlineStr">
        <is>
          <t>Logo na página de parceiros/patrocinadores do site.</t>
        </is>
      </c>
      <c r="E6" s="13">
        <f>B6*C6</f>
        <v/>
      </c>
    </row>
    <row r="7">
      <c r="A7" s="15" t="inlineStr">
        <is>
          <t>ARRECADAÇÃO MENSAL ESTIMADA COM PATROCÍNIOS</t>
        </is>
      </c>
      <c r="B7" s="4" t="n"/>
      <c r="C7" s="4" t="n"/>
      <c r="D7" s="4" t="n"/>
      <c r="E7" s="7">
        <f>SUM(E4:E6)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4" customWidth="1" min="2" max="2"/>
    <col width="27" customWidth="1" min="3" max="3"/>
    <col width="70" customWidth="1" min="4" max="4"/>
  </cols>
  <sheetData>
    <row r="1">
      <c r="A1" s="16" t="inlineStr">
        <is>
          <t>PROJEÇÃO DE ARRECADAÇÃO MENSAL COM PATROCÍNIOS (12 MESES)</t>
        </is>
      </c>
    </row>
    <row r="2"/>
    <row r="3">
      <c r="A3" s="17" t="inlineStr">
        <is>
          <t>Mês</t>
        </is>
      </c>
      <c r="B3" s="17" t="inlineStr">
        <is>
          <t>Nº de Patrocinadores</t>
        </is>
      </c>
      <c r="C3" s="17" t="inlineStr">
        <is>
          <t>Arrecadação Mensal (R$)</t>
        </is>
      </c>
      <c r="D3" s="17" t="inlineStr">
        <is>
          <t>Destinação do Recurso</t>
        </is>
      </c>
    </row>
    <row r="4">
      <c r="A4" s="14" t="inlineStr">
        <is>
          <t>Mês 1</t>
        </is>
      </c>
      <c r="B4" s="14" t="n">
        <v>2</v>
      </c>
      <c r="C4" s="13">
        <f>B4*125</f>
        <v/>
      </c>
      <c r="D4" s="12" t="inlineStr">
        <is>
          <t>Cobre custos de hospedagem/domínio + Repasse para ações da Cáritas</t>
        </is>
      </c>
    </row>
    <row r="5">
      <c r="A5" s="14" t="inlineStr">
        <is>
          <t>Mês 2</t>
        </is>
      </c>
      <c r="B5" s="14" t="n">
        <v>3</v>
      </c>
      <c r="C5" s="13">
        <f>B5*125</f>
        <v/>
      </c>
      <c r="D5" s="12" t="inlineStr">
        <is>
          <t>Cobre custos de hospedagem/domínio + Repasse para ações da Cáritas</t>
        </is>
      </c>
    </row>
    <row r="6">
      <c r="A6" s="14" t="inlineStr">
        <is>
          <t>Mês 3</t>
        </is>
      </c>
      <c r="B6" s="14" t="n">
        <v>5</v>
      </c>
      <c r="C6" s="13">
        <f>B6*125</f>
        <v/>
      </c>
      <c r="D6" s="12" t="inlineStr">
        <is>
          <t>Cobre custos de hospedagem/domínio + Repasse para ações da Cáritas</t>
        </is>
      </c>
    </row>
    <row r="7">
      <c r="A7" s="14" t="inlineStr">
        <is>
          <t>Mês 4</t>
        </is>
      </c>
      <c r="B7" s="14" t="n">
        <v>6</v>
      </c>
      <c r="C7" s="13">
        <f>B7*125</f>
        <v/>
      </c>
      <c r="D7" s="12" t="inlineStr">
        <is>
          <t>Cobre custos de hospedagem/domínio + Repasse para ações da Cáritas</t>
        </is>
      </c>
    </row>
    <row r="8">
      <c r="A8" s="14" t="inlineStr">
        <is>
          <t>Mês 5</t>
        </is>
      </c>
      <c r="B8" s="14" t="n">
        <v>8</v>
      </c>
      <c r="C8" s="13">
        <f>B8*125</f>
        <v/>
      </c>
      <c r="D8" s="12" t="inlineStr">
        <is>
          <t>Cobre custos de hospedagem/domínio + Repasse para ações da Cáritas</t>
        </is>
      </c>
    </row>
    <row r="9">
      <c r="A9" s="14" t="inlineStr">
        <is>
          <t>Mês 6</t>
        </is>
      </c>
      <c r="B9" s="14" t="n">
        <v>8</v>
      </c>
      <c r="C9" s="13">
        <f>B9*125</f>
        <v/>
      </c>
      <c r="D9" s="12" t="inlineStr">
        <is>
          <t>Cobre custos de hospedagem/domínio + Repasse para ações da Cáritas</t>
        </is>
      </c>
    </row>
    <row r="10">
      <c r="A10" s="14" t="inlineStr">
        <is>
          <t>Mês 7</t>
        </is>
      </c>
      <c r="B10" s="14" t="n">
        <v>10</v>
      </c>
      <c r="C10" s="13">
        <f>B10*125</f>
        <v/>
      </c>
      <c r="D10" s="12" t="inlineStr">
        <is>
          <t>Cobre custos de hospedagem/domínio + Repasse para ações da Cáritas</t>
        </is>
      </c>
    </row>
    <row r="11">
      <c r="A11" s="14" t="inlineStr">
        <is>
          <t>Mês 8</t>
        </is>
      </c>
      <c r="B11" s="14" t="n">
        <v>10</v>
      </c>
      <c r="C11" s="13">
        <f>B11*125</f>
        <v/>
      </c>
      <c r="D11" s="12" t="inlineStr">
        <is>
          <t>Cobre custos de hospedagem/domínio + Repasse para ações da Cáritas</t>
        </is>
      </c>
    </row>
    <row r="12">
      <c r="A12" s="14" t="inlineStr">
        <is>
          <t>Mês 9</t>
        </is>
      </c>
      <c r="B12" s="14" t="n">
        <v>12</v>
      </c>
      <c r="C12" s="13">
        <f>B12*125</f>
        <v/>
      </c>
      <c r="D12" s="12" t="inlineStr">
        <is>
          <t>Cobre custos de hospedagem/domínio + Repasse para ações da Cáritas</t>
        </is>
      </c>
    </row>
    <row r="13">
      <c r="A13" s="14" t="inlineStr">
        <is>
          <t>Mês 10</t>
        </is>
      </c>
      <c r="B13" s="14" t="n">
        <v>12</v>
      </c>
      <c r="C13" s="13">
        <f>B13*125</f>
        <v/>
      </c>
      <c r="D13" s="12" t="inlineStr">
        <is>
          <t>Cobre custos de hospedagem/domínio + Repasse para ações da Cáritas</t>
        </is>
      </c>
    </row>
    <row r="14">
      <c r="A14" s="14" t="inlineStr">
        <is>
          <t>Mês 11</t>
        </is>
      </c>
      <c r="B14" s="14" t="n">
        <v>12</v>
      </c>
      <c r="C14" s="13">
        <f>B14*125</f>
        <v/>
      </c>
      <c r="D14" s="12" t="inlineStr">
        <is>
          <t>Cobre custos de hospedagem/domínio + Repasse para ações da Cáritas</t>
        </is>
      </c>
    </row>
    <row r="15">
      <c r="A15" s="14" t="inlineStr">
        <is>
          <t>Mês 12</t>
        </is>
      </c>
      <c r="B15" s="14" t="n">
        <v>12</v>
      </c>
      <c r="C15" s="13">
        <f>B15*125</f>
        <v/>
      </c>
      <c r="D15" s="12" t="inlineStr">
        <is>
          <t>Cobre custos de hospedagem/domínio + Repasse para ações da Cáritas</t>
        </is>
      </c>
    </row>
    <row r="16">
      <c r="A16" s="15" t="inlineStr">
        <is>
          <t>TOTAL ARRECADADO NO ANO 1</t>
        </is>
      </c>
      <c r="B16" s="4" t="n"/>
      <c r="C16" s="7">
        <f>SUM(C4:C15)</f>
        <v/>
      </c>
      <c r="D16" s="4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7" customWidth="1" min="2" max="2"/>
  </cols>
  <sheetData>
    <row r="1">
      <c r="A1" s="18" t="inlineStr">
        <is>
          <t>EQUIPAMENTO / CONSUMO / ENERGIA (ALUNOS E PROJETO)</t>
        </is>
      </c>
      <c r="B1" s="18" t="inlineStr">
        <is>
          <t>ESTIMATIVA DE DESGASTE E USO (R$)</t>
        </is>
      </c>
    </row>
    <row r="2">
      <c r="A2" s="4" t="inlineStr">
        <is>
          <t>Depreciação/Desgaste dos Notebooks dos Alunos (6 integrantes)</t>
        </is>
      </c>
      <c r="B2" s="5" t="n">
        <v>450</v>
      </c>
    </row>
    <row r="3">
      <c r="A3" s="4" t="inlineStr">
        <is>
          <t>Energia Elétrica Estimada para os Períodos de Estudo/Dev</t>
        </is>
      </c>
      <c r="B3" s="5" t="n">
        <v>180</v>
      </c>
    </row>
    <row r="4">
      <c r="A4" s="4" t="inlineStr">
        <is>
          <t>Internet Utilizada durante o Desenvolvimento</t>
        </is>
      </c>
      <c r="B4" s="5" t="n">
        <v>120</v>
      </c>
    </row>
    <row r="5"/>
    <row r="6"/>
    <row r="7"/>
    <row r="8"/>
    <row r="9"/>
    <row r="10"/>
    <row r="11"/>
    <row r="12"/>
    <row r="13"/>
    <row r="14"/>
    <row r="15">
      <c r="A15" s="15" t="inlineStr">
        <is>
          <t>TOTAL CUSTO ESTRUTURAL INDIRETO</t>
        </is>
      </c>
      <c r="B15" s="19">
        <f>SUM(B2:B4)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8" customWidth="1" min="3" max="3"/>
    <col width="27" customWidth="1" min="4" max="4"/>
    <col width="26" customWidth="1" min="5" max="5"/>
  </cols>
  <sheetData>
    <row r="1">
      <c r="A1" s="20" t="inlineStr">
        <is>
          <t>INTEGRANTE DA EQUIPE</t>
        </is>
      </c>
      <c r="B1" s="20" t="inlineStr">
        <is>
          <t>FUNÇÃO / PAPEL</t>
        </is>
      </c>
      <c r="C1" s="20" t="inlineStr">
        <is>
          <t>HORAS DOADAS</t>
        </is>
      </c>
      <c r="D1" s="20" t="inlineStr">
        <is>
          <t>VALOR HORA MERCADO (R$)</t>
        </is>
      </c>
      <c r="E1" s="20" t="inlineStr">
        <is>
          <t>VALOR TOTAL DOADO (R$)</t>
        </is>
      </c>
    </row>
    <row r="2">
      <c r="A2" s="12" t="inlineStr">
        <is>
          <t>Guilherme Alves</t>
        </is>
      </c>
      <c r="B2" s="12" t="inlineStr">
        <is>
          <t>Product Owner (PO)</t>
        </is>
      </c>
      <c r="C2" s="14" t="n">
        <v>120</v>
      </c>
      <c r="D2" s="13" t="n">
        <v>28.13</v>
      </c>
      <c r="E2" s="13">
        <f>C2*D2</f>
        <v/>
      </c>
    </row>
    <row r="3">
      <c r="A3" s="12" t="inlineStr">
        <is>
          <t>Maria Eduarda Ribeiro</t>
        </is>
      </c>
      <c r="B3" s="12" t="inlineStr">
        <is>
          <t>Scrum Master</t>
        </is>
      </c>
      <c r="C3" s="14" t="n">
        <v>120</v>
      </c>
      <c r="D3" s="13" t="n">
        <v>28.13</v>
      </c>
      <c r="E3" s="13">
        <f>C3*D3</f>
        <v/>
      </c>
    </row>
    <row r="4">
      <c r="A4" s="12" t="inlineStr">
        <is>
          <t>Nicole Colasso</t>
        </is>
      </c>
      <c r="B4" s="12" t="inlineStr">
        <is>
          <t>Líder Técnico</t>
        </is>
      </c>
      <c r="C4" s="14" t="n">
        <v>160</v>
      </c>
      <c r="D4" s="13" t="n">
        <v>34.38</v>
      </c>
      <c r="E4" s="13">
        <f>C4*D4</f>
        <v/>
      </c>
    </row>
    <row r="5">
      <c r="A5" s="12" t="inlineStr">
        <is>
          <t>Ana Carolina Tiritan</t>
        </is>
      </c>
      <c r="B5" s="12" t="inlineStr">
        <is>
          <t>Desenvolvedora Full Stack</t>
        </is>
      </c>
      <c r="C5" s="14" t="n">
        <v>180</v>
      </c>
      <c r="D5" s="13" t="n">
        <v>23.75</v>
      </c>
      <c r="E5" s="13">
        <f>C5*D5</f>
        <v/>
      </c>
    </row>
    <row r="6">
      <c r="A6" s="12" t="inlineStr">
        <is>
          <t>Lucas Borges</t>
        </is>
      </c>
      <c r="B6" s="12" t="inlineStr">
        <is>
          <t>Desenvolvedor Full Stack</t>
        </is>
      </c>
      <c r="C6" s="14" t="n">
        <v>180</v>
      </c>
      <c r="D6" s="13" t="n">
        <v>23.75</v>
      </c>
      <c r="E6" s="13">
        <f>C6*D6</f>
        <v/>
      </c>
    </row>
    <row r="7">
      <c r="A7" s="12" t="inlineStr">
        <is>
          <t>Matheus Batista</t>
        </is>
      </c>
      <c r="B7" s="12" t="inlineStr">
        <is>
          <t>Desenvolvedor Full Stack</t>
        </is>
      </c>
      <c r="C7" s="14" t="n">
        <v>180</v>
      </c>
      <c r="D7" s="13" t="n">
        <v>23.75</v>
      </c>
      <c r="E7" s="13">
        <f>C7*D7</f>
        <v/>
      </c>
    </row>
    <row r="8"/>
    <row r="9"/>
    <row r="10">
      <c r="A10" s="15" t="inlineStr">
        <is>
          <t>TOTAL DA MÃO DE OBRA DOADA À CÁRITAS</t>
        </is>
      </c>
      <c r="B10" s="4" t="n"/>
      <c r="C10" s="4" t="n"/>
      <c r="D10" s="4" t="n"/>
      <c r="E10" s="9">
        <f>SUM(E2:E7)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2026-10-07T13:25:19Z</dcterms:created>
  <dcterms:modified xmlns:dcterms="http://purl.org/dc/terms/" xmlns:xsi="http://www.w3.org/2001/XMLSchema-instance" xsi:type="dcterms:W3CDTF">2026-10-07T13:25:19Z</dcterms:modified>
</cp:coreProperties>
</file>